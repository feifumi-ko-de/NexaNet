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6a3e1a9e6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d3456c6634d4121"/>
    <x:sheet xmlns:r="http://schemas.openxmlformats.org/officeDocument/2006/relationships" name="Keuangan" sheetId="2" r:id="R57d39a4deb1b40a0"/>
    <x:sheet xmlns:r="http://schemas.openxmlformats.org/officeDocument/2006/relationships" name="Proyeksi" sheetId="3" r:id="R60331477df7f43ee"/>
    <x:sheet xmlns:r="http://schemas.openxmlformats.org/officeDocument/2006/relationships" name="Survei" sheetId="4" r:id="R55ea7af57a4244e9"/>
    <x:sheet xmlns:r="http://schemas.openxmlformats.org/officeDocument/2006/relationships" name="Petunjuk" sheetId="5" r:id="R8538ae79ef8e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78aa1cf754c41" /><Relationship Type="http://schemas.openxmlformats.org/officeDocument/2006/relationships/theme" Target="/xl/theme/theme1.xml" Id="R0aef93ec678448ae" /><Relationship Type="http://schemas.openxmlformats.org/officeDocument/2006/relationships/sharedStrings" Target="/xl/sharedStrings.xml" Id="R47eb2c3abde84d7d" /><Relationship Type="http://schemas.openxmlformats.org/officeDocument/2006/relationships/worksheet" Target="/xl/worksheets/sheet1.xml" Id="R1d3456c6634d4121" /><Relationship Type="http://schemas.openxmlformats.org/officeDocument/2006/relationships/worksheet" Target="/xl/worksheets/sheet2.xml" Id="R57d39a4deb1b40a0" /><Relationship Type="http://schemas.openxmlformats.org/officeDocument/2006/relationships/worksheet" Target="/xl/worksheets/sheet3.xml" Id="R60331477df7f43ee" /><Relationship Type="http://schemas.openxmlformats.org/officeDocument/2006/relationships/worksheet" Target="/xl/worksheets/sheet4.xml" Id="R55ea7af57a4244e9" /><Relationship Type="http://schemas.openxmlformats.org/officeDocument/2006/relationships/worksheet" Target="/xl/worksheets/sheet5.xml" Id="R8538ae79ef8e47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1c3a98f0214e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Proyeksi Pendapatan 3 Bulan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Jam terjual</c:v>
          </c:tx>
          <c:cat>
            <c:strRef>
              <c:f>'Proyeksi'!$A$4:$A$6</c:f>
              <c:strCache>
                <c:ptCount val="0"/>
              </c:strCache>
            </c:strRef>
          </c:cat>
          <c:val>
            <c:numRef>
              <c:f>'Proyeksi'!$B$4:$B$6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Harga/jam</c:v>
          </c:tx>
          <c:cat>
            <c:strRef>
              <c:f>'Proyeksi'!$A$4:$A$6</c:f>
              <c:strCache>
                <c:ptCount val="0"/>
              </c:strCache>
            </c:strRef>
          </c:cat>
          <c:val>
            <c:numRef>
              <c:f>'Proyeksi'!$C$4:$C$6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Pendapatan</c:v>
          </c:tx>
          <c:cat>
            <c:strRef>
              <c:f>'Proyeksi'!$A$4:$A$6</c:f>
              <c:strCache>
                <c:ptCount val="0"/>
              </c:strCache>
            </c:strRef>
          </c:cat>
          <c:val>
            <c:numRef>
              <c:f>'Proyeksi'!$D$4:$D$6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1c3a98f0214e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9df880bd9df4f4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5" t="str">
        <x:v>NEXANET - INPUT KEUANGAN (GANTI DENGAN DATA ASLI)</x:v>
      </x:c>
      <x:c r="B1" s="5"/>
      <x:c r="C1" s="5"/>
      <x:c r="D1" s="5"/>
      <x:c r="E1" s="5"/>
      <x:c r="F1" s="5"/>
    </x:row>
    <x:row r="3">
      <x:c r="A3" s="22" t="str">
        <x:v>Parameter</x:v>
      </x:c>
      <x:c r="B3" s="22" t="str">
        <x:v>Nilai</x:v>
      </x:c>
      <x:c r="C3" s="23"/>
      <x:c r="D3" s="24" t="str">
        <x:v>Catatan</x:v>
      </x:c>
      <x:c r="E3" s="24" t="str"/>
      <x:c r="F3" s="24" t="str"/>
    </x:row>
    <x:row r="4">
      <x:c r="A4" s="23" t="str">
        <x:v>Biaya tetap per bulan</x:v>
      </x:c>
      <x:c r="B4" s="25" t="n">
        <x:v>3250000</x:v>
      </x:c>
      <x:c r="C4" s="23"/>
      <x:c r="D4" s="23" t="str">
        <x:v>Sel kuning adalah input yang perlu diganti.</x:v>
      </x:c>
      <x:c r="E4" s="23" t="str"/>
      <x:c r="F4" s="23" t="str"/>
    </x:row>
    <x:row r="5">
      <x:c r="A5" s="23" t="str">
        <x:v>Biaya variabel per jam</x:v>
      </x:c>
      <x:c r="B5" s="25" t="n">
        <x:v>2000</x:v>
      </x:c>
      <x:c r="C5" s="23"/>
      <x:c r="D5" s="23" t="str">
        <x:v>Survei, harga pesaing, dan biaya nyata wajib diverifikasi sendiri.</x:v>
      </x:c>
      <x:c r="E5" s="23" t="str"/>
      <x:c r="F5" s="23" t="str"/>
    </x:row>
    <x:row r="6">
      <x:c r="A6" s="23" t="str">
        <x:v>Jam PC terjual per bulan (contoh)</x:v>
      </x:c>
      <x:c r="B6" s="25" t="n">
        <x:v>1500</x:v>
      </x:c>
      <x:c r="C6" s="23"/>
      <x:c r="D6" s="23" t="str">
        <x:v>Pembayaran pelanggan: CASH di lokasi warnet.</x:v>
      </x:c>
      <x:c r="E6" s="23" t="str"/>
      <x:c r="F6" s="23" t="str"/>
    </x:row>
    <x:row r="7">
      <x:c r="A7" s="23" t="str">
        <x:v>Target harga jual per jam</x:v>
      </x:c>
      <x:c r="B7" s="25" t="n">
        <x:v>7000</x:v>
      </x:c>
      <x:c r="C7" s="23"/>
      <x:c r="D7" s="23" t="str">
        <x:v>BEP mengikuti rumus pada pedoman tugas.</x:v>
      </x:c>
      <x:c r="E7" s="23" t="str"/>
      <x:c r="F7" s="23" t="str"/>
    </x:row>
    <x:row r="8">
      <x:c r="A8" s="23" t="str">
        <x:v>Target keuntungan (desimal)</x:v>
      </x:c>
      <x:c r="B8" s="26" t="n">
        <x:v>0.68</x:v>
      </x:c>
      <x:c r="C8" s="23"/>
      <x:c r="D8" s="23" t="str">
        <x:v>Nilai contoh bukan data survei dan tidak boleh diklaim sebagai data asli.</x:v>
      </x:c>
      <x:c r="E8" s="23" t="str"/>
      <x:c r="F8" s="23" t="str"/>
    </x:row>
    <x:row r="9">
      <x:c r="A9" s="23" t="str">
        <x:v>Modal awal maksimum tugas</x:v>
      </x:c>
      <x:c r="B9" s="25" t="n">
        <x:v>5000000</x:v>
      </x:c>
      <x:c r="C9" s="23"/>
      <x:c r="D9" s="23" t="str"/>
      <x:c r="E9" s="23" t="str"/>
      <x:c r="F9" s="23" t="str"/>
    </x:row>
    <x:row r="10">
      <x:c r="A10" s="23" t="str">
        <x:v>Biaya investasi aktual</x:v>
      </x:c>
      <x:c r="B10" s="25" t="n">
        <x:v>1500000</x:v>
      </x:c>
      <x:c r="C10" s="23"/>
      <x:c r="D10" s="23"/>
      <x:c r="E10" s="23"/>
      <x:c r="F10" s="23"/>
    </x:row>
    <x:row r="11">
      <x:c r="A11" s="23" t="str">
        <x:v>Modal operasional bulan pertama</x:v>
      </x:c>
      <x:c r="B11" s="25" t="n">
        <x:v>1000000</x:v>
      </x:c>
      <x:c r="C11" s="23"/>
      <x:c r="D11" s="23"/>
      <x:c r="E11" s="23"/>
      <x:c r="F11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>
      <x:c r="A1" s="4" t="str">
        <x:v>NEXANET - HPP, HARGA JUAL, DAN BEP</x:v>
      </x:c>
      <x:c r="B1" s="4"/>
      <x:c r="C1" s="4"/>
      <x:c r="D1" s="4"/>
    </x:row>
    <x:row r="3">
      <x:c r="A3" s="24" t="str">
        <x:v>Komponen</x:v>
      </x:c>
      <x:c r="B3" s="24" t="str">
        <x:v>Hasil</x:v>
      </x:c>
    </x:row>
    <x:row r="4">
      <x:c r="A4" s="23" t="str">
        <x:v>Biaya tetap per bulan</x:v>
      </x:c>
      <x:c r="B4" s="36" t="n">
        <x:f>Input!B4</x:f>
        <x:v>3250000</x:v>
      </x:c>
    </x:row>
    <x:row r="5">
      <x:c r="A5" s="23" t="str">
        <x:v>Biaya variabel per jam</x:v>
      </x:c>
      <x:c r="B5" s="36" t="n">
        <x:f>Input!B5</x:f>
        <x:v>2000</x:v>
      </x:c>
    </x:row>
    <x:row r="6">
      <x:c r="A6" s="23" t="str">
        <x:v>Produksi (jam PC/bulan)</x:v>
      </x:c>
      <x:c r="B6" s="36" t="n">
        <x:f>Input!B6</x:f>
        <x:v>1500</x:v>
      </x:c>
    </x:row>
    <x:row r="7">
      <x:c r="A7" s="23" t="str">
        <x:v>Total biaya variabel</x:v>
      </x:c>
      <x:c r="B7" s="36" t="n">
        <x:f>B5*B6</x:f>
        <x:v>3000000</x:v>
      </x:c>
    </x:row>
    <x:row r="8">
      <x:c r="A8" s="23" t="str">
        <x:v>Total biaya bulanan</x:v>
      </x:c>
      <x:c r="B8" s="36" t="n">
        <x:f>B4+B7</x:f>
        <x:v>6250000</x:v>
      </x:c>
    </x:row>
    <x:row r="9">
      <x:c r="A9" s="23" t="str">
        <x:v>HPP per jam</x:v>
      </x:c>
      <x:c r="B9" s="36" t="n">
        <x:f>B8/B6</x:f>
        <x:v>4166.666666666667</x:v>
      </x:c>
    </x:row>
    <x:row r="10">
      <x:c r="A10" s="23" t="str">
        <x:v>Harga jual per jam</x:v>
      </x:c>
      <x:c r="B10" s="36" t="n">
        <x:f>Input!B7</x:f>
        <x:v>7000</x:v>
      </x:c>
    </x:row>
    <x:row r="11">
      <x:c r="A11" s="23"/>
      <x:c r="B11" s="36"/>
    </x:row>
    <x:row r="12">
      <x:c r="A12" s="24" t="str">
        <x:v>BEP</x:v>
      </x:c>
      <x:c r="B12" s="37" t="str">
        <x:v>Hasil</x:v>
      </x:c>
    </x:row>
    <x:row r="13">
      <x:c r="A13" s="23" t="str">
        <x:v>Margin kontribusi per jam</x:v>
      </x:c>
      <x:c r="B13" s="36" t="n">
        <x:f>B10-B5</x:f>
        <x:v>5000</x:v>
      </x:c>
    </x:row>
    <x:row r="14">
      <x:c r="A14" s="23" t="str">
        <x:v>BEP unit (jam)</x:v>
      </x:c>
      <x:c r="B14" s="36" t="n">
        <x:f>B4/B13</x:f>
        <x:v>650</x:v>
      </x:c>
    </x:row>
    <x:row r="15">
      <x:c r="A15" s="23" t="str">
        <x:v>BEP rupiah</x:v>
      </x:c>
      <x:c r="B15" s="36" t="n">
        <x:f>B14*B10</x:f>
        <x:v>4550000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t="str">
        <x:v>PROYEKSI LABA RUGI 3 BULAN - GANTI JAM TERJUAL SESUAI TARGET NYATA</x:v>
      </x:c>
    </x:row>
    <x:row r="3">
      <x:c r="A3" s="22" t="str">
        <x:v>Bulan</x:v>
      </x:c>
      <x:c r="B3" s="22" t="str">
        <x:v>Jam terjual</x:v>
      </x:c>
      <x:c r="C3" s="22" t="str">
        <x:v>Harga/jam</x:v>
      </x:c>
      <x:c r="D3" s="22" t="str">
        <x:v>Pendapatan</x:v>
      </x:c>
      <x:c r="E3" s="22" t="str">
        <x:v>Biaya variabel</x:v>
      </x:c>
      <x:c r="F3" s="22" t="str">
        <x:v>Biaya tetap</x:v>
      </x:c>
      <x:c r="G3" s="22" t="str">
        <x:v>Laba/Rugi</x:v>
      </x:c>
    </x:row>
    <x:row r="4">
      <x:c r="A4" s="23" t="str">
        <x:v>Bulan 1</x:v>
      </x:c>
      <x:c r="B4" s="40" t="n">
        <x:v>800</x:v>
      </x:c>
      <x:c r="C4" s="36" t="n">
        <x:f>Keuangan!B10</x:f>
        <x:v>7000</x:v>
      </x:c>
      <x:c r="D4" s="36" t="n">
        <x:f>B4*C4</x:f>
        <x:v>5600000</x:v>
      </x:c>
      <x:c r="E4" s="36" t="n">
        <x:f>B4*Input!B5</x:f>
        <x:v>1600000</x:v>
      </x:c>
      <x:c r="F4" s="36" t="n">
        <x:f>Input!B4</x:f>
        <x:v>3250000</x:v>
      </x:c>
      <x:c r="G4" s="36" t="n">
        <x:f>D4-E4-F4</x:f>
        <x:v>750000</x:v>
      </x:c>
    </x:row>
    <x:row r="5">
      <x:c r="A5" s="23" t="str">
        <x:v>Bulan 2</x:v>
      </x:c>
      <x:c r="B5" s="40" t="n">
        <x:v>1000</x:v>
      </x:c>
      <x:c r="C5" s="36" t="n">
        <x:f>Keuangan!B10</x:f>
        <x:v>7000</x:v>
      </x:c>
      <x:c r="D5" s="36" t="n">
        <x:f>B5*C5</x:f>
        <x:v>7000000</x:v>
      </x:c>
      <x:c r="E5" s="36" t="n">
        <x:f>B5*Input!B5</x:f>
        <x:v>2000000</x:v>
      </x:c>
      <x:c r="F5" s="36" t="n">
        <x:f>Input!B4</x:f>
        <x:v>3250000</x:v>
      </x:c>
      <x:c r="G5" s="36" t="n">
        <x:f>D5-E5-F5</x:f>
        <x:v>1750000</x:v>
      </x:c>
    </x:row>
    <x:row r="6">
      <x:c r="A6" s="23" t="str">
        <x:v>Bulan 3</x:v>
      </x:c>
      <x:c r="B6" s="40" t="n">
        <x:v>1200</x:v>
      </x:c>
      <x:c r="C6" s="36" t="n">
        <x:f>Keuangan!B10</x:f>
        <x:v>7000</x:v>
      </x:c>
      <x:c r="D6" s="36" t="n">
        <x:f>B6*C6</x:f>
        <x:v>8400000</x:v>
      </x:c>
      <x:c r="E6" s="36" t="n">
        <x:f>B6*Input!B5</x:f>
        <x:v>2400000</x:v>
      </x:c>
      <x:c r="F6" s="36" t="n">
        <x:f>Input!B4</x:f>
        <x:v>3250000</x:v>
      </x:c>
      <x:c r="G6" s="36" t="n">
        <x:f>D6-E6-F6</x:f>
        <x:v>2750000</x:v>
      </x:c>
    </x:row>
  </x:sheetData>
  <x:mergeCells>
    <x:mergeCell ref="A1:H1"/>
  </x:mergeCells>
  <x:conditionalFormatting sqref="G4:G6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9df880bd9df4f4d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3" t="str">
        <x:v>TEMPLATE SURVEI CALON PELANGGAN - ISI DENGAN MINIMAL 20 RESPONDEN ASLI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22" t="str">
        <x:v>Timestamp</x:v>
      </x:c>
      <x:c r="B3" s="22" t="str">
        <x:v>Usia</x:v>
      </x:c>
      <x:c r="C3" s="22" t="str">
        <x:v>Status</x:v>
      </x:c>
      <x:c r="D3" s="22" t="str">
        <x:v>Lokasi</x:v>
      </x:c>
      <x:c r="E3" s="22" t="str">
        <x:v>Frekuensi Warnet</x:v>
      </x:c>
      <x:c r="F3" s="22" t="str">
        <x:v>Pernah Menunggu?</x:v>
      </x:c>
      <x:c r="G3" s="22" t="str">
        <x:v>Minat Reservasi Online</x:v>
      </x:c>
      <x:c r="H3" s="22" t="str">
        <x:v>Durasi Umum (jam)</x:v>
      </x:c>
      <x:c r="I3" s="22" t="str">
        <x:v>Harga Wajar/jam</x:v>
      </x:c>
      <x:c r="J3" s="22" t="str">
        <x:v>Fitur Utama</x:v>
      </x:c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</x:row>
    <x:row r="7">
      <x:c r="A7" s="40"/>
      <x:c r="B7" s="40"/>
      <x:c r="C7" s="40"/>
      <x:c r="D7" s="40"/>
      <x:c r="E7" s="40"/>
      <x:c r="F7" s="40"/>
      <x:c r="G7" s="40"/>
      <x:c r="H7" s="40"/>
      <x:c r="I7" s="40"/>
      <x:c r="J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</x:row>
    <x:row r="25">
      <x:c r="A25" s="11" t="str">
        <x:v>Ringkasan</x:v>
      </x:c>
      <x:c r="B25" s="11" t="str">
        <x:v>Hasil</x:v>
      </x:c>
    </x:row>
    <x:row r="26">
      <x:c r="A26" s="46" t="str">
        <x:v>Jumlah responden</x:v>
      </x:c>
      <x:c r="B26" s="46" t="n">
        <x:f>COUNTA(A4:A23)</x:f>
        <x:v>0</x:v>
      </x:c>
    </x:row>
    <x:row r="27">
      <x:c r="A27" s="46" t="str">
        <x:v>Berminat reservasi online</x:v>
      </x:c>
      <x:c r="B27" s="46" t="n">
        <x:f>COUNTIF(G4:G23,"Ya")</x:f>
        <x:v>0</x:v>
      </x:c>
    </x:row>
    <x:row r="28">
      <x:c r="A28" s="46" t="str">
        <x:v>Pernah menunggu PC</x:v>
      </x:c>
      <x:c r="B28" s="46" t="n">
        <x:f>COUNTIF(F4:F23,"Ya")</x:f>
        <x:v>0</x:v>
      </x:c>
    </x:row>
    <x:row r="29">
      <x:c r="A29" s="46" t="str">
        <x:v>Rata-rata durasi (jam)</x:v>
      </x:c>
      <x:c r="B29" s="46" t="n">
        <x:f>IFERROR(AVERAGE(H4:H23),0)</x:f>
        <x:v>0</x:v>
      </x:c>
    </x:row>
    <x:row r="30">
      <x:c r="A30" s="46" t="str">
        <x:v>Rata-rata harga wajar</x:v>
      </x:c>
      <x:c r="B30" s="46" t="n">
        <x:f>IFERROR(AVERAGE(I4:I23),0)</x:f>
        <x:v>0</x:v>
      </x:c>
    </x:row>
    <x:row r="31">
      <x:c r="A31" t="str">
        <x:v>Catatan</x:v>
      </x:c>
      <x:c r="B31" t="str">
        <x:v>Isi/ubah formula setelah data survei masuk.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</x:cols>
  <x:sheetData>
    <x:row r="1">
      <x:c r="A1" s="4" t="str">
        <x:v>CARA PAKAI FILE KEUANGAN NEXANET</x:v>
      </x:c>
      <x:c r="B1" s="4"/>
      <x:c r="C1" s="4"/>
      <x:c r="D1" s="4"/>
    </x:row>
    <x:row r="3">
      <x:c r="A3" s="24" t="str">
        <x:v>Langkah</x:v>
      </x:c>
      <x:c r="B3" s="24" t="str">
        <x:v>Keterangan</x:v>
      </x:c>
    </x:row>
    <x:row r="4">
      <x:c r="A4" s="23" t="n">
        <x:v>1</x:v>
      </x:c>
      <x:c r="B4" s="23" t="str">
        <x:v>Buka sheet Input lalu ganti angka contoh dengan biaya usaha yang benar-benar kamu dapatkan.</x:v>
      </x:c>
    </x:row>
    <x:row r="5">
      <x:c r="A5" s="23" t="n">
        <x:v>2</x:v>
      </x:c>
      <x:c r="B5" s="23" t="str">
        <x:v>Buka sheet Survei lalu masukkan hasil Google Form minimal 20 responden asli.</x:v>
      </x:c>
    </x:row>
    <x:row r="6">
      <x:c r="A6" s="23" t="n">
        <x:v>3</x:v>
      </x:c>
      <x:c r="B6" s="23" t="str">
        <x:v>Keuangan menghitung HPP, harga jual, dan BEP berdasarkan formula pedoman tugas.</x:v>
      </x:c>
    </x:row>
    <x:row r="7">
      <x:c r="A7" s="23" t="n">
        <x:v>4</x:v>
      </x:c>
      <x:c r="B7" s="23" t="str">
        <x:v>Proyeksi menghitung pendapatan, biaya variabel, biaya tetap, dan laba/rugi 3 bulan.</x:v>
      </x:c>
    </x:row>
    <x:row r="8">
      <x:c r="A8" s="23" t="n">
        <x:v>5</x:v>
      </x:c>
      <x:c r="B8" s="23" t="str">
        <x:v>Simpan screenshot tabel dan gunakan angka final tersebut pada proposal.</x:v>
      </x:c>
    </x:row>
    <x:row r="9">
      <x:c r="A9" s="23" t="n">
        <x:v>6</x:v>
      </x:c>
      <x:c r="B9" s="23" t="str">
        <x:v>Lampirkan bukti harga bahan/pesaing sesuai ketentuan tugas.</x:v>
      </x:c>
    </x:row>
    <x:row r="10">
      <x:c r="A10" s="23" t="n">
        <x:v>7</x:v>
      </x:c>
      <x:c r="B10" s="23" t="str">
        <x:v>Jangan mengklaim angka contoh sebagai data survei atau biaya nyata.</x:v>
      </x:c>
    </x:row>
  </x:sheetData>
  <x:mergeCells>
    <x:mergeCell ref="A1:D1"/>
  </x:mergeCells>
  <x:pageMargins left="0.7" right="0.7" top="0.75" bottom="0.75" header="0.3" footer="0.3"/>
</x:worksheet>
</file>